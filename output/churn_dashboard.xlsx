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c4b23977d0419da/Desktop/Personal/Data Analysis Projects/Customer Churn Analysis (SQL^J Excel)/output/"/>
    </mc:Choice>
  </mc:AlternateContent>
  <xr:revisionPtr revIDLastSave="0" documentId="8_{46B975D7-D3A2-466E-BE1F-B57CBB44ADBD}" xr6:coauthVersionLast="47" xr6:coauthVersionMax="47" xr10:uidLastSave="{00000000-0000-0000-0000-000000000000}"/>
  <bookViews>
    <workbookView xWindow="3285" yWindow="1140" windowWidth="22860" windowHeight="13710" tabRatio="604" xr2:uid="{00000000-000D-0000-FFFF-FFFF00000000}"/>
  </bookViews>
  <sheets>
    <sheet name="Churn Overview" sheetId="1" r:id="rId1"/>
    <sheet name="Customer Behavior" sheetId="2" r:id="rId2"/>
    <sheet name="Segmentation" sheetId="3" r:id="rId3"/>
    <sheet name="Key Insights" sheetId="5" r:id="rId4"/>
  </sheets>
  <definedNames>
    <definedName name="_xlchart.v1.0" hidden="1">'Customer Behavior'!$J$12</definedName>
    <definedName name="_xlchart.v1.1" hidden="1">'Customer Behavior'!$B$3:$B$5</definedName>
    <definedName name="_xlchart.v1.2" hidden="1">'Customer Behavior'!$D$3:$D$5</definedName>
    <definedName name="_xlchart.v1.3" hidden="1">'Customer Behavior'!$K$12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<sst xmlns="http://schemas.openxmlformats.org/spreadsheetml/2006/main" count="33" uniqueCount="31">
  <si>
    <t>Churn Rate</t>
  </si>
  <si>
    <t>Total Customers</t>
  </si>
  <si>
    <t>Churned Customers</t>
  </si>
  <si>
    <t>Behavior Analysis</t>
  </si>
  <si>
    <t>Attrition Flag</t>
  </si>
  <si>
    <t>Average Spending</t>
  </si>
  <si>
    <t>Attrited Customer</t>
  </si>
  <si>
    <t>Existing Customer</t>
  </si>
  <si>
    <t>Income-based churn</t>
  </si>
  <si>
    <t>Income Category</t>
  </si>
  <si>
    <t>Total</t>
  </si>
  <si>
    <t>$120k +</t>
  </si>
  <si>
    <t>Less than $40k</t>
  </si>
  <si>
    <t>Unknown</t>
  </si>
  <si>
    <t>$80k-$120k</t>
  </si>
  <si>
    <t>$40k-$60k</t>
  </si>
  <si>
    <t>$60k-$80k</t>
  </si>
  <si>
    <t>Card-based churn</t>
  </si>
  <si>
    <t>Category</t>
  </si>
  <si>
    <t>Churn rate</t>
  </si>
  <si>
    <t>Platinum</t>
  </si>
  <si>
    <t>Gold</t>
  </si>
  <si>
    <t>Blue</t>
  </si>
  <si>
    <t>Silver</t>
  </si>
  <si>
    <t>Existing Customers</t>
  </si>
  <si>
    <t>Churn Overview</t>
  </si>
  <si>
    <t>Average Number of Transactions</t>
  </si>
  <si>
    <t>Average Utilization</t>
  </si>
  <si>
    <t>1. Churned customers show significantly lower engagement</t>
  </si>
  <si>
    <t>2. Churned customers show ~35% fewer transactions ,~33% lower spending, ~45% lower utilization</t>
  </si>
  <si>
    <t>3. Behavioral decline appears before churn occurs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</si>
</sst>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8" fontId="0" fillId="0" borderId="0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168" fontId="0" fillId="0" borderId="6" xfId="0" applyNumberFormat="1" applyBorder="1" applyAlignment="1">
      <alignment horizontal="right"/>
    </xf>
    <xf numFmtId="10" fontId="0" fillId="0" borderId="2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10" fontId="0" fillId="0" borderId="4" xfId="0" applyNumberFormat="1" applyBorder="1"/>
    <xf numFmtId="10" fontId="0" fillId="0" borderId="2" xfId="0" applyNumberFormat="1" applyBorder="1"/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Churn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'Churn Overview'!$B$4:$B$5</c:f>
              <c:strCache>
                <c:ptCount val="2"/>
                <c:pt idx="0">
                  <c:v>Existing Customers</c:v>
                </c:pt>
                <c:pt idx="1">
                  <c:v>Churned Customers</c:v>
                </c:pt>
              </c:strCache>
            </c:strRef>
          </c:cat>
          <c:val>
            <c:numRef>
              <c:f>'Churn Overview'!$C$4:$C$5</c:f>
              <c:numCache>
                <c:formatCode>General</c:formatCode>
                <c:ptCount val="2"/>
                <c:pt idx="0">
                  <c:v>8500</c:v>
                </c:pt>
                <c:pt idx="1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E-4965-9A0D-342E3E749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7222222222222221E-2"/>
          <c:y val="0.4035640857392826"/>
          <c:w val="0.32611570428696413"/>
          <c:h val="0.2442140565762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Behavior'!$C$3</c:f>
              <c:strCache>
                <c:ptCount val="1"/>
                <c:pt idx="0">
                  <c:v>Average Spending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Behavior'!$B$4:$B$5</c:f>
              <c:strCache>
                <c:ptCount val="2"/>
                <c:pt idx="0">
                  <c:v>Attrited Customer</c:v>
                </c:pt>
                <c:pt idx="1">
                  <c:v>Existing Customer</c:v>
                </c:pt>
              </c:strCache>
            </c:strRef>
          </c:cat>
          <c:val>
            <c:numRef>
              <c:f>'Customer Behavior'!$C$4:$C$5</c:f>
              <c:numCache>
                <c:formatCode>"$"#,##0.00</c:formatCode>
                <c:ptCount val="2"/>
                <c:pt idx="0">
                  <c:v>3095</c:v>
                </c:pt>
                <c:pt idx="1">
                  <c:v>4655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3-453F-B751-14CE57221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458047"/>
        <c:axId val="1393454207"/>
      </c:barChart>
      <c:catAx>
        <c:axId val="139345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54207"/>
        <c:crosses val="autoZero"/>
        <c:auto val="1"/>
        <c:lblAlgn val="ctr"/>
        <c:lblOffset val="100"/>
        <c:noMultiLvlLbl val="0"/>
      </c:catAx>
      <c:valAx>
        <c:axId val="139345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5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Behavior'!$D$3</c:f>
              <c:strCache>
                <c:ptCount val="1"/>
                <c:pt idx="0">
                  <c:v>Average Number of 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Behavior'!$B$4:$B$5</c:f>
              <c:strCache>
                <c:ptCount val="2"/>
                <c:pt idx="0">
                  <c:v>Attrited Customer</c:v>
                </c:pt>
                <c:pt idx="1">
                  <c:v>Existing Customer</c:v>
                </c:pt>
              </c:strCache>
            </c:strRef>
          </c:cat>
          <c:val>
            <c:numRef>
              <c:f>'Customer Behavior'!$D$4:$D$5</c:f>
              <c:numCache>
                <c:formatCode>General</c:formatCode>
                <c:ptCount val="2"/>
                <c:pt idx="0">
                  <c:v>45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9-4B5A-BDDF-DFF4BFFA2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5306223"/>
        <c:axId val="2005306703"/>
      </c:barChart>
      <c:catAx>
        <c:axId val="200530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06703"/>
        <c:crosses val="autoZero"/>
        <c:auto val="1"/>
        <c:lblAlgn val="ctr"/>
        <c:lblOffset val="100"/>
        <c:noMultiLvlLbl val="0"/>
      </c:catAx>
      <c:valAx>
        <c:axId val="200530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0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Behavior'!$E$3</c:f>
              <c:strCache>
                <c:ptCount val="1"/>
                <c:pt idx="0">
                  <c:v>Average Utilization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Behavior'!$B$4:$B$5</c:f>
              <c:strCache>
                <c:ptCount val="2"/>
                <c:pt idx="0">
                  <c:v>Attrited Customer</c:v>
                </c:pt>
                <c:pt idx="1">
                  <c:v>Existing Customer</c:v>
                </c:pt>
              </c:strCache>
            </c:strRef>
          </c:cat>
          <c:val>
            <c:numRef>
              <c:f>'Customer Behavior'!$E$4:$E$5</c:f>
              <c:numCache>
                <c:formatCode>0.00%</c:formatCode>
                <c:ptCount val="2"/>
                <c:pt idx="0">
                  <c:v>0.162475107559926</c:v>
                </c:pt>
                <c:pt idx="1">
                  <c:v>0.29641176470588199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5-4F37-B9FC-2A7EE0143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232335"/>
        <c:axId val="1955237135"/>
      </c:barChart>
      <c:catAx>
        <c:axId val="195523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37135"/>
        <c:crosses val="autoZero"/>
        <c:auto val="1"/>
        <c:lblAlgn val="ctr"/>
        <c:lblOffset val="100"/>
        <c:noMultiLvlLbl val="0"/>
      </c:catAx>
      <c:valAx>
        <c:axId val="19552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3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Segmentation!$D$3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Segmentation!$B$4:$B$9</c:f>
              <c:strCache>
                <c:ptCount val="6"/>
                <c:pt idx="0">
                  <c:v>$120k +</c:v>
                </c:pt>
                <c:pt idx="1">
                  <c:v>Less than $40k</c:v>
                </c:pt>
                <c:pt idx="2">
                  <c:v>Unknown</c:v>
                </c:pt>
                <c:pt idx="3">
                  <c:v>$80k-$120k</c:v>
                </c:pt>
                <c:pt idx="4">
                  <c:v>$40k-$60k</c:v>
                </c:pt>
                <c:pt idx="5">
                  <c:v>$60k-$80k</c:v>
                </c:pt>
              </c:strCache>
            </c:strRef>
          </c:cat>
          <c:val>
            <c:numRef>
              <c:f>Segmentation!$D$4:$D$9</c:f>
              <c:numCache>
                <c:formatCode>General</c:formatCode>
                <c:ptCount val="6"/>
                <c:pt idx="0">
                  <c:v>17.329999999999998</c:v>
                </c:pt>
                <c:pt idx="1">
                  <c:v>17.190000000000001</c:v>
                </c:pt>
                <c:pt idx="2">
                  <c:v>16.82</c:v>
                </c:pt>
                <c:pt idx="3">
                  <c:v>15.77</c:v>
                </c:pt>
                <c:pt idx="4">
                  <c:v>15.14</c:v>
                </c:pt>
                <c:pt idx="5">
                  <c:v>13.48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3-436C-B231-CD9C455A3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193983"/>
        <c:axId val="1399192543"/>
      </c:barChart>
      <c:catAx>
        <c:axId val="139919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92543"/>
        <c:crosses val="autoZero"/>
        <c:auto val="1"/>
        <c:lblAlgn val="ctr"/>
        <c:lblOffset val="100"/>
        <c:noMultiLvlLbl val="0"/>
      </c:catAx>
      <c:valAx>
        <c:axId val="139919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9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Segmentation!$H$3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Segmentation!$F$4:$F$7</c:f>
              <c:strCache>
                <c:ptCount val="4"/>
                <c:pt idx="0">
                  <c:v>Platinum</c:v>
                </c:pt>
                <c:pt idx="1">
                  <c:v>Gold</c:v>
                </c:pt>
                <c:pt idx="2">
                  <c:v>Blue</c:v>
                </c:pt>
                <c:pt idx="3">
                  <c:v>Silver</c:v>
                </c:pt>
              </c:strCache>
            </c:strRef>
          </c:cat>
          <c:val>
            <c:numRef>
              <c:f>Segmentation!$H$4:$H$7</c:f>
              <c:numCache>
                <c:formatCode>General</c:formatCode>
                <c:ptCount val="4"/>
                <c:pt idx="0">
                  <c:v>25</c:v>
                </c:pt>
                <c:pt idx="1">
                  <c:v>18.100000000000001</c:v>
                </c:pt>
                <c:pt idx="2">
                  <c:v>16.100000000000001</c:v>
                </c:pt>
                <c:pt idx="3">
                  <c:v>14.77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7-41BA-877A-126E19BCF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229935"/>
        <c:axId val="1955230895"/>
      </c:barChart>
      <c:catAx>
        <c:axId val="195522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30895"/>
        <c:crosses val="autoZero"/>
        <c:auto val="1"/>
        <c:lblAlgn val="ctr"/>
        <c:lblOffset val="100"/>
        <c:noMultiLvlLbl val="0"/>
      </c:catAx>
      <c:valAx>
        <c:axId val="195523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2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</xdr:colOff>
      <xdr:row>7</xdr:row>
      <xdr:rowOff>76200</xdr:rowOff>
    </xdr:from>
    <xdr:to>
      <xdr:col>4</xdr:col>
      <xdr:colOff>700087</xdr:colOff>
      <xdr:row>21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7BFD7E-A6C9-23FA-FA7A-B1718EAF2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</xdr:colOff>
      <xdr:row>6</xdr:row>
      <xdr:rowOff>104775</xdr:rowOff>
    </xdr:from>
    <xdr:to>
      <xdr:col>6</xdr:col>
      <xdr:colOff>33337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29D05-21BC-0DE2-93D6-8423D5D0A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366712</xdr:colOff>
      <xdr:row>6</xdr:row>
      <xdr:rowOff>133350</xdr:rowOff>
    </xdr:from>
    <xdr:to>
      <xdr:col>14</xdr:col>
      <xdr:colOff>61912</xdr:colOff>
      <xdr:row>21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33465C-1558-E0F5-5E13-A8DD4C8C5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71437</xdr:colOff>
      <xdr:row>22</xdr:row>
      <xdr:rowOff>0</xdr:rowOff>
    </xdr:from>
    <xdr:to>
      <xdr:col>4</xdr:col>
      <xdr:colOff>909637</xdr:colOff>
      <xdr:row>36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0BBFF6-8CB2-C89F-F461-625DF956C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</xdr:colOff>
      <xdr:row>10</xdr:row>
      <xdr:rowOff>47625</xdr:rowOff>
    </xdr:from>
    <xdr:to>
      <xdr:col>6</xdr:col>
      <xdr:colOff>328612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B9DC8-B80C-881F-DEB1-0C979ECBF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23812</xdr:colOff>
      <xdr:row>10</xdr:row>
      <xdr:rowOff>57150</xdr:rowOff>
    </xdr:from>
    <xdr:to>
      <xdr:col>13</xdr:col>
      <xdr:colOff>157162</xdr:colOff>
      <xdr:row>24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1241F-5625-884F-ADEA-B3FEB0CD4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6"/>
  <sheetViews>
    <sheetView tabSelected="1" workbookViewId="0">
      <selection activeCell="F22" sqref="F22"/>
    </sheetView>
  </sheetViews>
  <sheetFormatPr defaultRowHeight="15" x14ac:dyDescent="0.25"/>
  <cols>
    <col min="1" max="1" width="11.140625" style="1" customWidth="1"/>
    <col min="2" max="2" width="20.140625" style="1" customWidth="1"/>
    <col min="3" max="3" width="18.28515625" style="1" customWidth="1"/>
    <col min="4" max="5" width="20.7109375" style="1" customWidth="1"/>
    <col min="6" max="6" width="22.85546875" style="1" customWidth="1"/>
    <col min="7" max="16384" width="9.140625" style="1"/>
  </cols>
  <sheetData>
    <row r="1" spans="2:3" ht="15.75" thickBot="1" x14ac:dyDescent="0.3"/>
    <row r="2" spans="2:3" ht="16.5" thickBot="1" x14ac:dyDescent="0.3">
      <c r="B2" s="24" t="s">
        <v>25</v>
      </c>
      <c r="C2" s="25"/>
    </row>
    <row r="3" spans="2:3" x14ac:dyDescent="0.25">
      <c r="B3" s="8" t="s">
        <v>1</v>
      </c>
      <c r="C3" s="16">
        <v>10127</v>
      </c>
    </row>
    <row r="4" spans="2:3" x14ac:dyDescent="0.25">
      <c r="B4" s="8" t="s">
        <v>24</v>
      </c>
      <c r="C4" s="16">
        <f>C3-C5</f>
        <v>8500</v>
      </c>
    </row>
    <row r="5" spans="2:3" x14ac:dyDescent="0.25">
      <c r="B5" s="8" t="s">
        <v>2</v>
      </c>
      <c r="C5" s="16">
        <v>1627</v>
      </c>
    </row>
    <row r="6" spans="2:3" ht="15.75" thickBot="1" x14ac:dyDescent="0.3">
      <c r="B6" s="11" t="s">
        <v>0</v>
      </c>
      <c r="C6" s="18">
        <v>0.16070000000000001</v>
      </c>
    </row>
  </sheetData>
  <mergeCells count="1">
    <mergeCell ref="B2:C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57D2-814B-4B50-B950-9CF11374072B}">
  <dimension ref="B1:E5"/>
  <sheetViews>
    <sheetView workbookViewId="0">
      <selection activeCell="B2" sqref="B2:E2"/>
    </sheetView>
  </sheetViews>
  <sheetFormatPr defaultRowHeight="15" x14ac:dyDescent="0.25"/>
  <cols>
    <col min="1" max="1" width="7.7109375" customWidth="1"/>
    <col min="2" max="2" width="18.42578125" customWidth="1"/>
    <col min="3" max="3" width="18.140625" customWidth="1"/>
    <col min="4" max="5" width="19.42578125" customWidth="1"/>
  </cols>
  <sheetData>
    <row r="1" spans="2:5" ht="15.75" thickBot="1" x14ac:dyDescent="0.3"/>
    <row r="2" spans="2:5" ht="16.5" thickBot="1" x14ac:dyDescent="0.3">
      <c r="B2" s="24" t="s">
        <v>3</v>
      </c>
      <c r="C2" s="26"/>
      <c r="D2" s="26"/>
      <c r="E2" s="25"/>
    </row>
    <row r="3" spans="2:5" ht="33" customHeight="1" x14ac:dyDescent="0.25">
      <c r="B3" s="12" t="s">
        <v>4</v>
      </c>
      <c r="C3" s="13" t="s">
        <v>5</v>
      </c>
      <c r="D3" s="19" t="s">
        <v>26</v>
      </c>
      <c r="E3" s="14" t="s">
        <v>27</v>
      </c>
    </row>
    <row r="4" spans="2:5" x14ac:dyDescent="0.25">
      <c r="B4" s="3" t="s">
        <v>6</v>
      </c>
      <c r="C4" s="15">
        <v>3095</v>
      </c>
      <c r="D4" s="20">
        <v>45</v>
      </c>
      <c r="E4" s="22">
        <v>0.162475107559926</v>
      </c>
    </row>
    <row r="5" spans="2:5" ht="15.75" thickBot="1" x14ac:dyDescent="0.3">
      <c r="B5" s="5" t="s">
        <v>7</v>
      </c>
      <c r="C5" s="17">
        <v>4655</v>
      </c>
      <c r="D5" s="21">
        <v>69</v>
      </c>
      <c r="E5" s="23">
        <v>0.29641176470588199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347C-D73C-4ED5-97B0-FE5396E2A30E}">
  <dimension ref="B1:H9"/>
  <sheetViews>
    <sheetView workbookViewId="0">
      <selection activeCell="F28" sqref="F28"/>
    </sheetView>
  </sheetViews>
  <sheetFormatPr defaultRowHeight="15" x14ac:dyDescent="0.25"/>
  <cols>
    <col min="1" max="1" width="8.85546875" customWidth="1"/>
    <col min="2" max="2" width="19.140625" customWidth="1"/>
    <col min="3" max="3" width="13.140625" customWidth="1"/>
    <col min="4" max="4" width="12.140625" customWidth="1"/>
    <col min="6" max="6" width="11.140625" customWidth="1"/>
    <col min="8" max="8" width="12.42578125" customWidth="1"/>
    <col min="10" max="10" width="17.5703125" customWidth="1"/>
  </cols>
  <sheetData>
    <row r="1" spans="2:8" ht="15.75" thickBot="1" x14ac:dyDescent="0.3"/>
    <row r="2" spans="2:8" ht="16.5" thickBot="1" x14ac:dyDescent="0.3">
      <c r="B2" s="24" t="s">
        <v>8</v>
      </c>
      <c r="C2" s="26"/>
      <c r="D2" s="25"/>
      <c r="F2" s="24" t="s">
        <v>17</v>
      </c>
      <c r="G2" s="26"/>
      <c r="H2" s="25"/>
    </row>
    <row r="3" spans="2:8" x14ac:dyDescent="0.25">
      <c r="B3" s="8" t="s">
        <v>9</v>
      </c>
      <c r="C3" s="9" t="s">
        <v>10</v>
      </c>
      <c r="D3" s="10" t="s">
        <v>0</v>
      </c>
      <c r="F3" s="8" t="s">
        <v>18</v>
      </c>
      <c r="G3" s="9" t="s">
        <v>10</v>
      </c>
      <c r="H3" s="10" t="s">
        <v>19</v>
      </c>
    </row>
    <row r="4" spans="2:8" x14ac:dyDescent="0.25">
      <c r="B4" s="3" t="s">
        <v>11</v>
      </c>
      <c r="C4" s="2">
        <v>727</v>
      </c>
      <c r="D4" s="4">
        <v>17.329999999999998</v>
      </c>
      <c r="F4" s="3" t="s">
        <v>20</v>
      </c>
      <c r="G4" s="2">
        <v>20</v>
      </c>
      <c r="H4" s="4">
        <v>25</v>
      </c>
    </row>
    <row r="5" spans="2:8" x14ac:dyDescent="0.25">
      <c r="B5" s="3" t="s">
        <v>12</v>
      </c>
      <c r="C5" s="2">
        <v>3561</v>
      </c>
      <c r="D5" s="4">
        <v>17.190000000000001</v>
      </c>
      <c r="F5" s="3" t="s">
        <v>21</v>
      </c>
      <c r="G5" s="2">
        <v>116</v>
      </c>
      <c r="H5" s="4">
        <v>18.100000000000001</v>
      </c>
    </row>
    <row r="6" spans="2:8" x14ac:dyDescent="0.25">
      <c r="B6" s="3" t="s">
        <v>13</v>
      </c>
      <c r="C6" s="2">
        <v>1112</v>
      </c>
      <c r="D6" s="4">
        <v>16.82</v>
      </c>
      <c r="F6" s="3" t="s">
        <v>22</v>
      </c>
      <c r="G6" s="2">
        <v>9436</v>
      </c>
      <c r="H6" s="4">
        <v>16.100000000000001</v>
      </c>
    </row>
    <row r="7" spans="2:8" ht="15.75" thickBot="1" x14ac:dyDescent="0.3">
      <c r="B7" s="3" t="s">
        <v>14</v>
      </c>
      <c r="C7" s="2">
        <v>1535</v>
      </c>
      <c r="D7" s="4">
        <v>15.77</v>
      </c>
      <c r="F7" s="5" t="s">
        <v>23</v>
      </c>
      <c r="G7" s="6">
        <v>555</v>
      </c>
      <c r="H7" s="7">
        <v>14.77</v>
      </c>
    </row>
    <row r="8" spans="2:8" x14ac:dyDescent="0.25">
      <c r="B8" s="3" t="s">
        <v>15</v>
      </c>
      <c r="C8" s="2">
        <v>1790</v>
      </c>
      <c r="D8" s="4">
        <v>15.14</v>
      </c>
    </row>
    <row r="9" spans="2:8" ht="15.75" thickBot="1" x14ac:dyDescent="0.3">
      <c r="B9" s="5" t="s">
        <v>16</v>
      </c>
      <c r="C9" s="6">
        <v>1402</v>
      </c>
      <c r="D9" s="7">
        <v>13.48</v>
      </c>
    </row>
  </sheetData>
  <mergeCells count="2">
    <mergeCell ref="B2:D2"/>
    <mergeCell ref="F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CEAC-EBCE-465D-AE37-E32DD95A0B37}">
  <dimension ref="A1:A3"/>
  <sheetViews>
    <sheetView workbookViewId="0">
      <selection activeCell="J24" sqref="J24"/>
    </sheetView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Churn Overview</vt:lpstr>
      <vt:lpstr>Customer Behavior</vt:lpstr>
      <vt:lpstr>Segmentation</vt:lpstr>
      <vt:lpstr>Key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 Tran</dc:creator>
  <cp:lastModifiedBy>Tin Tran</cp:lastModifiedBy>
  <dcterms:created xsi:type="dcterms:W3CDTF">2015-06-05T18:17:20Z</dcterms:created>
  <dcterms:modified xsi:type="dcterms:W3CDTF">2026-04-22T00:31:35Z</dcterms:modified>
</cp:coreProperties>
</file>